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30" yWindow="195" windowWidth="12120" windowHeight="9060"/>
  </bookViews>
  <sheets>
    <sheet name="Valuation Report=LAP Resale" sheetId="1" r:id="rId1"/>
  </sheets>
  <definedNames>
    <definedName name="_xlnm.Print_Area" localSheetId="0">'Valuation Report=LAP Resale'!$A$1:$G$128</definedName>
  </definedNames>
  <calcPr calcId="144525"/>
</workbook>
</file>

<file path=xl/calcChain.xml><?xml version="1.0" encoding="utf-8"?>
<calcChain xmlns="http://schemas.openxmlformats.org/spreadsheetml/2006/main">
  <c r="D41" i="1" l="1"/>
  <c r="J10" i="1"/>
  <c r="K39" i="1"/>
  <c r="C25" i="1" l="1"/>
  <c r="B15" i="1" l="1"/>
  <c r="G22" i="1" l="1"/>
  <c r="E25" i="1" l="1"/>
  <c r="C22" i="1"/>
  <c r="F22" i="1" s="1"/>
  <c r="E28" i="1"/>
  <c r="G28" i="1" s="1"/>
  <c r="C44" i="1"/>
  <c r="F44" i="1" s="1"/>
  <c r="F24" i="1"/>
  <c r="G27" i="1"/>
  <c r="E22" i="1"/>
  <c r="E24" i="1"/>
  <c r="G24" i="1" s="1"/>
  <c r="E26" i="1"/>
  <c r="E27" i="1"/>
  <c r="B44" i="1"/>
  <c r="A44" i="1"/>
  <c r="A43" i="1"/>
  <c r="A42" i="1"/>
  <c r="A41" i="1"/>
  <c r="A40" i="1"/>
  <c r="F28" i="1"/>
  <c r="F26" i="1"/>
  <c r="F43" i="1" l="1"/>
  <c r="D40" i="1"/>
  <c r="F40" i="1" s="1"/>
  <c r="F27" i="1"/>
  <c r="F42" i="1"/>
  <c r="G26" i="1"/>
  <c r="F25" i="1"/>
  <c r="G25" i="1"/>
  <c r="E29" i="1"/>
  <c r="F29" i="1" l="1"/>
  <c r="D30" i="1" s="1"/>
  <c r="G29" i="1"/>
</calcChain>
</file>

<file path=xl/sharedStrings.xml><?xml version="1.0" encoding="utf-8"?>
<sst xmlns="http://schemas.openxmlformats.org/spreadsheetml/2006/main" count="150" uniqueCount="123">
  <si>
    <t>Description</t>
  </si>
  <si>
    <t>NA</t>
  </si>
  <si>
    <t>Fourth Floor</t>
  </si>
  <si>
    <t>Basement Floor</t>
  </si>
  <si>
    <t>Date Of Visit:</t>
  </si>
  <si>
    <t>Application No.</t>
  </si>
  <si>
    <t>Postal Address 
(As per firing)</t>
  </si>
  <si>
    <t>Distance from Bus Stand</t>
  </si>
  <si>
    <t>Distance from Railway Station</t>
  </si>
  <si>
    <t>Distance from Airport</t>
  </si>
  <si>
    <t>Class of Locality in surrounding area</t>
  </si>
  <si>
    <t>Use of Property</t>
  </si>
  <si>
    <t>Occupied By</t>
  </si>
  <si>
    <t>Description of the 
Property</t>
  </si>
  <si>
    <t xml:space="preserve">Area </t>
  </si>
  <si>
    <t>FSI (FAR)</t>
  </si>
  <si>
    <t>S. No.</t>
  </si>
  <si>
    <t>Ref. No and Date</t>
  </si>
  <si>
    <t>Electricity Details</t>
  </si>
  <si>
    <t>Name in which the connections stands</t>
  </si>
  <si>
    <t>Reference No.</t>
  </si>
  <si>
    <t>RISK OF DEMOLITION</t>
  </si>
  <si>
    <t>Visit Details:</t>
  </si>
  <si>
    <t>Discrepancies / Mismatch of the Details if any;</t>
  </si>
  <si>
    <t>Chick List</t>
  </si>
  <si>
    <t>1. Documents details match with actual property at site</t>
  </si>
  <si>
    <t>2. Documents submitted is clear and legible</t>
  </si>
  <si>
    <t>4. Originals of Documents submitted is verified</t>
  </si>
  <si>
    <t>5. Ownership confirmed by any other documents</t>
  </si>
  <si>
    <t>6. Customer is co operative in valuation</t>
  </si>
  <si>
    <t>7. Proper accessibility is available to reach the property</t>
  </si>
  <si>
    <t>3. Stamp and seal by proper approving authority is available</t>
  </si>
  <si>
    <t>I hereby confirm that the above mentioned property is marketable &amp; recommended to accept as security</t>
  </si>
  <si>
    <t>DMA Name:</t>
  </si>
  <si>
    <t xml:space="preserve">Nearby landmark: </t>
  </si>
  <si>
    <t xml:space="preserve"> Actual Area
 (in sqft)</t>
  </si>
  <si>
    <t>Property Land Area</t>
  </si>
  <si>
    <t>Plot area as per papers (in sqft)</t>
  </si>
  <si>
    <t>Total Value of the Property (Land &amp; Building) (In Rs.)</t>
  </si>
  <si>
    <t>Total Actual value (in Rs.)</t>
  </si>
  <si>
    <t>Medium</t>
  </si>
  <si>
    <t>High</t>
  </si>
  <si>
    <t>Low</t>
  </si>
  <si>
    <t>Nil</t>
  </si>
  <si>
    <t>For</t>
  </si>
  <si>
    <t>(Authorized Signatory)</t>
  </si>
  <si>
    <t>BUA/SBUA/Salable area</t>
  </si>
  <si>
    <t>CHOLAMANDALAM INVESTMENT &amp; FINANCE COMPANY LTD.</t>
  </si>
  <si>
    <t>VALUATION REPORT</t>
  </si>
  <si>
    <t>Customer Name:</t>
  </si>
  <si>
    <t>Property Details:</t>
  </si>
  <si>
    <t>Dimension &amp; Boundaries Details</t>
  </si>
  <si>
    <t>North</t>
  </si>
  <si>
    <t>East</t>
  </si>
  <si>
    <t>West</t>
  </si>
  <si>
    <t>South</t>
  </si>
  <si>
    <t>As per document</t>
  </si>
  <si>
    <t>Actual</t>
  </si>
  <si>
    <t>Boundaries</t>
  </si>
  <si>
    <t>Dimensions</t>
  </si>
  <si>
    <t>Deviation Details:</t>
  </si>
  <si>
    <t>Details of Document Submitted:</t>
  </si>
  <si>
    <t>Residual age of the property</t>
  </si>
  <si>
    <t>Age of the Property (approx.)</t>
  </si>
  <si>
    <t>Address as per (Document submitted)</t>
  </si>
  <si>
    <t>Contact No. &amp; Person whom Contacted :</t>
  </si>
  <si>
    <t>Property Valuation Report for Home Equity</t>
  </si>
  <si>
    <t>Actual Area
 (in sqft)</t>
  </si>
  <si>
    <t>Deviation area  (in Sqft)</t>
  </si>
  <si>
    <t>Deviation in %</t>
  </si>
  <si>
    <t>Rate per Sqft (After Depreciated)</t>
  </si>
  <si>
    <t>Reference Details (Minimum Two)</t>
  </si>
  <si>
    <t>Latest bill date available</t>
  </si>
  <si>
    <t xml:space="preserve">Ground Floor </t>
  </si>
  <si>
    <t>Compoundable Permissible Area (in sqft)</t>
  </si>
  <si>
    <t>Total Permissible Value (in Rs.)</t>
  </si>
  <si>
    <t xml:space="preserve">Ref. No. : </t>
  </si>
  <si>
    <t>First Floor</t>
  </si>
  <si>
    <t xml:space="preserve">Second Floor </t>
  </si>
  <si>
    <t>S</t>
  </si>
  <si>
    <t xml:space="preserve">Contact Details = </t>
  </si>
  <si>
    <t>N,A.</t>
  </si>
  <si>
    <t>Residential</t>
  </si>
  <si>
    <t>Middle</t>
  </si>
  <si>
    <t>Approved Map</t>
  </si>
  <si>
    <r>
      <t>Yes</t>
    </r>
    <r>
      <rPr>
        <sz val="11"/>
        <rFont val="Times New Roman"/>
        <family val="1"/>
      </rPr>
      <t xml:space="preserve"> </t>
    </r>
  </si>
  <si>
    <t xml:space="preserve">Yes </t>
  </si>
  <si>
    <t>Yes</t>
  </si>
  <si>
    <t>Remarks :-Nil</t>
  </si>
  <si>
    <t xml:space="preserve">Place:- </t>
  </si>
  <si>
    <t>CHITTORGARH</t>
  </si>
  <si>
    <t xml:space="preserve">DLC Value </t>
  </si>
  <si>
    <t>N.P.</t>
  </si>
  <si>
    <t>N.A.</t>
  </si>
  <si>
    <t xml:space="preserve">Mazanine Floor </t>
  </si>
  <si>
    <t>DLC RATERs.</t>
  </si>
  <si>
    <t xml:space="preserve">Mazine Floor :- </t>
  </si>
  <si>
    <t>Third Floor :- Nil</t>
  </si>
  <si>
    <t>Name of the Person =</t>
  </si>
  <si>
    <t>Distress sale Value</t>
  </si>
  <si>
    <t xml:space="preserve">First Floor :- </t>
  </si>
  <si>
    <t xml:space="preserve">Basement Floor :- </t>
  </si>
  <si>
    <t xml:space="preserve">Second Floor :- </t>
  </si>
  <si>
    <t>2.5 Km.</t>
  </si>
  <si>
    <t>29/3/2022</t>
  </si>
  <si>
    <t>Mr. Gopal Lal S/O Sh. Banshi Lal Ji Khothari</t>
  </si>
  <si>
    <t>Ashoka Layland Service Centre</t>
  </si>
  <si>
    <t>60'</t>
  </si>
  <si>
    <t>50'</t>
  </si>
  <si>
    <t>Plot no.-72,73,74, Gram-Putholi,Tehsil-Gangrar,Distt.-Chittorgarh</t>
  </si>
  <si>
    <t>Contact Number =8003595763</t>
  </si>
  <si>
    <t>Name of the Person =Gopal Khothari</t>
  </si>
  <si>
    <t>Visiting Time  = 29/03/2022</t>
  </si>
  <si>
    <t>Road</t>
  </si>
  <si>
    <t>Plot no.-69,70,71</t>
  </si>
  <si>
    <t>Plott no.-75</t>
  </si>
  <si>
    <t>Plot no.-46,47</t>
  </si>
  <si>
    <t>Date : 29/03/2022</t>
  </si>
  <si>
    <t>Ground Floor :- 1500sqft R-2,Shop-2,H-1,L&amp;B-3,K-2,(RCC Roof &amp; Marble Flooring), 1450sqft H-1(Tin Shed,Kota Stone Flooring)</t>
  </si>
  <si>
    <t>1 Km.</t>
  </si>
  <si>
    <t xml:space="preserve">8 Year, </t>
  </si>
  <si>
    <t>52Year</t>
  </si>
  <si>
    <r>
      <rPr>
        <sz val="11"/>
        <rFont val="Times New Roman"/>
        <family val="1"/>
      </rPr>
      <t xml:space="preserve">Applicant / Relative / Tenant / </t>
    </r>
    <r>
      <rPr>
        <b/>
        <sz val="11"/>
        <rFont val="Times New Roman"/>
        <family val="1"/>
      </rPr>
      <t>Vacant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</si>
</sst>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s.&quot;#,#00\ &quot;/-&quot;"/>
  </numFmts>
  <fonts count="15">
    <font>
      <sz val="10"/>
      <name val="Arial"/>
    </font>
    <font>
      <sz val="11"/>
      <color indexed="8"/>
      <name val="Zurich BT"/>
      <family val="2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sz val="11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Fill="1" applyAlignment="1">
      <alignment horizontal="left" vertical="justify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2" fontId="6" fillId="0" borderId="5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Border="1" applyAlignment="1"/>
    <xf numFmtId="0" fontId="6" fillId="0" borderId="1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14" fontId="6" fillId="0" borderId="1" xfId="0" applyNumberFormat="1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8" fillId="0" borderId="4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justify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2" fontId="6" fillId="2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13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wrapText="1"/>
    </xf>
    <xf numFmtId="2" fontId="6" fillId="0" borderId="3" xfId="0" applyNumberFormat="1" applyFont="1" applyBorder="1" applyAlignment="1">
      <alignment horizontal="left" vertical="top"/>
    </xf>
    <xf numFmtId="2" fontId="6" fillId="0" borderId="5" xfId="0" applyNumberFormat="1" applyFont="1" applyBorder="1" applyAlignment="1">
      <alignment horizontal="left" vertical="top"/>
    </xf>
    <xf numFmtId="0" fontId="6" fillId="0" borderId="0" xfId="0" applyFont="1" applyFill="1" applyBorder="1" applyAlignment="1">
      <alignment horizontal="justify" vertical="top" wrapText="1"/>
    </xf>
    <xf numFmtId="0" fontId="9" fillId="0" borderId="0" xfId="0" applyFont="1" applyFill="1" applyBorder="1" applyAlignment="1">
      <alignment horizontal="justify" vertical="top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4" fillId="0" borderId="3" xfId="0" applyNumberFormat="1" applyFont="1" applyFill="1" applyBorder="1" applyAlignment="1">
      <alignment horizontal="center" vertical="top" wrapText="1"/>
    </xf>
    <xf numFmtId="0" fontId="12" fillId="0" borderId="8" xfId="0" applyNumberFormat="1" applyFont="1" applyFill="1" applyBorder="1" applyAlignment="1">
      <alignment horizontal="center" vertical="top" wrapText="1"/>
    </xf>
    <xf numFmtId="0" fontId="12" fillId="0" borderId="5" xfId="0" applyNumberFormat="1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left" vertical="top"/>
    </xf>
    <xf numFmtId="0" fontId="8" fillId="0" borderId="14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14" fillId="0" borderId="8" xfId="0" applyNumberFormat="1" applyFont="1" applyFill="1" applyBorder="1" applyAlignment="1">
      <alignment horizontal="center" vertical="top" wrapText="1"/>
    </xf>
    <xf numFmtId="0" fontId="14" fillId="0" borderId="5" xfId="0" applyNumberFormat="1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10" fontId="6" fillId="0" borderId="3" xfId="1" applyNumberFormat="1" applyFont="1" applyBorder="1" applyAlignment="1">
      <alignment horizontal="center" vertical="top"/>
    </xf>
    <xf numFmtId="10" fontId="6" fillId="0" borderId="5" xfId="1" applyNumberFormat="1" applyFont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8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2" fontId="6" fillId="0" borderId="8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142875</xdr:rowOff>
    </xdr:from>
    <xdr:to>
      <xdr:col>6</xdr:col>
      <xdr:colOff>714375</xdr:colOff>
      <xdr:row>127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19750"/>
          <a:ext cx="7127875" cy="849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topLeftCell="A89" zoomScaleNormal="100" workbookViewId="0">
      <selection activeCell="G29" sqref="G29"/>
    </sheetView>
  </sheetViews>
  <sheetFormatPr defaultRowHeight="14.25"/>
  <cols>
    <col min="1" max="1" width="20" style="1" customWidth="1"/>
    <col min="2" max="2" width="16.85546875" style="1" customWidth="1"/>
    <col min="3" max="3" width="14.140625" style="1" customWidth="1"/>
    <col min="4" max="4" width="15.7109375" style="1" customWidth="1"/>
    <col min="5" max="5" width="15.5703125" style="1" customWidth="1"/>
    <col min="6" max="6" width="14.140625" style="1" customWidth="1"/>
    <col min="7" max="7" width="11.7109375" style="1" customWidth="1"/>
    <col min="8" max="16384" width="9.140625" style="1"/>
  </cols>
  <sheetData>
    <row r="1" spans="1:14" s="3" customFormat="1" ht="21" customHeight="1">
      <c r="A1" s="80" t="s">
        <v>47</v>
      </c>
      <c r="B1" s="81"/>
      <c r="C1" s="81"/>
      <c r="D1" s="81"/>
      <c r="E1" s="81"/>
      <c r="F1" s="81"/>
      <c r="G1" s="82"/>
      <c r="H1" s="41" t="s">
        <v>79</v>
      </c>
    </row>
    <row r="2" spans="1:14" s="3" customFormat="1" ht="19.5" customHeight="1">
      <c r="A2" s="80" t="s">
        <v>48</v>
      </c>
      <c r="B2" s="81"/>
      <c r="C2" s="81"/>
      <c r="D2" s="81"/>
      <c r="E2" s="81"/>
      <c r="F2" s="81"/>
      <c r="G2" s="82"/>
      <c r="H2" s="41"/>
    </row>
    <row r="3" spans="1:14" s="3" customFormat="1" ht="21" customHeight="1">
      <c r="A3" s="80" t="s">
        <v>66</v>
      </c>
      <c r="B3" s="96"/>
      <c r="C3" s="96"/>
      <c r="D3" s="96"/>
      <c r="E3" s="96"/>
      <c r="F3" s="96"/>
      <c r="G3" s="97"/>
      <c r="H3" s="41"/>
    </row>
    <row r="4" spans="1:14" s="3" customFormat="1" ht="16.5" customHeight="1">
      <c r="A4" s="89" t="s">
        <v>76</v>
      </c>
      <c r="B4" s="90"/>
      <c r="C4" s="90"/>
      <c r="D4" s="90"/>
      <c r="E4" s="91"/>
      <c r="F4" s="10" t="s">
        <v>4</v>
      </c>
      <c r="G4" s="32" t="s">
        <v>104</v>
      </c>
      <c r="H4" s="41"/>
    </row>
    <row r="5" spans="1:14" ht="18" customHeight="1">
      <c r="A5" s="33" t="s">
        <v>49</v>
      </c>
      <c r="B5" s="89" t="s">
        <v>105</v>
      </c>
      <c r="C5" s="90"/>
      <c r="D5" s="90"/>
      <c r="E5" s="91"/>
      <c r="F5" s="11" t="s">
        <v>5</v>
      </c>
      <c r="G5" s="11">
        <v>10068192</v>
      </c>
    </row>
    <row r="6" spans="1:14" ht="17.25" customHeight="1">
      <c r="A6" s="102" t="s">
        <v>65</v>
      </c>
      <c r="B6" s="103"/>
      <c r="C6" s="103"/>
      <c r="D6" s="100">
        <v>8003595763</v>
      </c>
      <c r="E6" s="101"/>
      <c r="F6" s="85"/>
      <c r="G6" s="92"/>
    </row>
    <row r="7" spans="1:14" ht="15.75" customHeight="1">
      <c r="A7" s="27" t="s">
        <v>33</v>
      </c>
      <c r="B7" s="56"/>
      <c r="C7" s="57"/>
      <c r="D7" s="57"/>
      <c r="E7" s="57"/>
      <c r="F7" s="57"/>
      <c r="G7" s="58"/>
      <c r="M7" s="2"/>
      <c r="N7" s="2"/>
    </row>
    <row r="8" spans="1:14" ht="17.25" customHeight="1">
      <c r="A8" s="83" t="s">
        <v>50</v>
      </c>
      <c r="B8" s="98" t="s">
        <v>101</v>
      </c>
      <c r="C8" s="98"/>
      <c r="D8" s="98"/>
      <c r="E8" s="98"/>
      <c r="F8" s="98"/>
      <c r="G8" s="98"/>
    </row>
    <row r="9" spans="1:14" ht="36" customHeight="1">
      <c r="A9" s="84"/>
      <c r="B9" s="89" t="s">
        <v>118</v>
      </c>
      <c r="C9" s="90"/>
      <c r="D9" s="90"/>
      <c r="E9" s="90"/>
      <c r="F9" s="90"/>
      <c r="G9" s="91"/>
      <c r="M9" s="2"/>
      <c r="N9" s="2"/>
    </row>
    <row r="10" spans="1:14" ht="17.25" customHeight="1">
      <c r="A10" s="84"/>
      <c r="B10" s="98" t="s">
        <v>96</v>
      </c>
      <c r="C10" s="98"/>
      <c r="D10" s="98"/>
      <c r="E10" s="98"/>
      <c r="F10" s="98"/>
      <c r="G10" s="98"/>
      <c r="J10" s="1">
        <f>50*29</f>
        <v>1450</v>
      </c>
    </row>
    <row r="11" spans="1:14" ht="17.25" customHeight="1">
      <c r="A11" s="84"/>
      <c r="B11" s="93" t="s">
        <v>100</v>
      </c>
      <c r="C11" s="94"/>
      <c r="D11" s="94"/>
      <c r="E11" s="94"/>
      <c r="F11" s="94"/>
      <c r="G11" s="95"/>
      <c r="M11" s="2"/>
      <c r="N11" s="2"/>
    </row>
    <row r="12" spans="1:14" ht="17.25" customHeight="1">
      <c r="A12" s="84"/>
      <c r="B12" s="93" t="s">
        <v>102</v>
      </c>
      <c r="C12" s="94"/>
      <c r="D12" s="94"/>
      <c r="E12" s="94"/>
      <c r="F12" s="94"/>
      <c r="G12" s="95"/>
    </row>
    <row r="13" spans="1:14" ht="17.25" customHeight="1">
      <c r="A13" s="84"/>
      <c r="B13" s="93" t="s">
        <v>97</v>
      </c>
      <c r="C13" s="94"/>
      <c r="D13" s="94"/>
      <c r="E13" s="94"/>
      <c r="F13" s="94"/>
      <c r="G13" s="95"/>
      <c r="M13" s="2"/>
      <c r="N13" s="2"/>
    </row>
    <row r="14" spans="1:14" ht="36" customHeight="1">
      <c r="A14" s="34" t="s">
        <v>6</v>
      </c>
      <c r="B14" s="99" t="s">
        <v>109</v>
      </c>
      <c r="C14" s="99"/>
      <c r="D14" s="99"/>
      <c r="E14" s="99"/>
      <c r="F14" s="99"/>
      <c r="G14" s="99"/>
    </row>
    <row r="15" spans="1:14" s="2" customFormat="1" ht="30.75" customHeight="1">
      <c r="A15" s="34" t="s">
        <v>64</v>
      </c>
      <c r="B15" s="99" t="str">
        <f>+B14</f>
        <v>Plot no.-72,73,74, Gram-Putholi,Tehsil-Gangrar,Distt.-Chittorgarh</v>
      </c>
      <c r="C15" s="99"/>
      <c r="D15" s="99"/>
      <c r="E15" s="99"/>
      <c r="F15" s="99"/>
      <c r="G15" s="99"/>
    </row>
    <row r="16" spans="1:14" s="2" customFormat="1" ht="21.75" customHeight="1">
      <c r="A16" s="34" t="s">
        <v>34</v>
      </c>
      <c r="B16" s="85" t="s">
        <v>106</v>
      </c>
      <c r="C16" s="86"/>
      <c r="D16" s="87" t="s">
        <v>7</v>
      </c>
      <c r="E16" s="87"/>
      <c r="F16" s="88" t="s">
        <v>119</v>
      </c>
      <c r="G16" s="88"/>
    </row>
    <row r="17" spans="1:8" s="2" customFormat="1" ht="15.75" customHeight="1">
      <c r="A17" s="28" t="s">
        <v>8</v>
      </c>
      <c r="B17" s="24"/>
      <c r="C17" s="25" t="s">
        <v>103</v>
      </c>
      <c r="D17" s="87" t="s">
        <v>9</v>
      </c>
      <c r="E17" s="87"/>
      <c r="F17" s="88" t="s">
        <v>81</v>
      </c>
      <c r="G17" s="88"/>
    </row>
    <row r="18" spans="1:8" ht="15.75" customHeight="1">
      <c r="A18" s="35" t="s">
        <v>10</v>
      </c>
      <c r="B18" s="130" t="s">
        <v>83</v>
      </c>
      <c r="C18" s="130"/>
      <c r="D18" s="13" t="s">
        <v>11</v>
      </c>
      <c r="E18" s="131" t="s">
        <v>82</v>
      </c>
      <c r="F18" s="132"/>
      <c r="G18" s="133"/>
    </row>
    <row r="19" spans="1:8" ht="30.75" customHeight="1">
      <c r="A19" s="36" t="s">
        <v>63</v>
      </c>
      <c r="B19" s="122" t="s">
        <v>120</v>
      </c>
      <c r="C19" s="123"/>
      <c r="D19" s="124" t="s">
        <v>62</v>
      </c>
      <c r="E19" s="125"/>
      <c r="F19" s="126" t="s">
        <v>121</v>
      </c>
      <c r="G19" s="127"/>
    </row>
    <row r="20" spans="1:8" ht="20.25" customHeight="1">
      <c r="A20" s="9" t="s">
        <v>12</v>
      </c>
      <c r="B20" s="128" t="s">
        <v>122</v>
      </c>
      <c r="C20" s="129"/>
      <c r="D20" s="129"/>
      <c r="E20" s="38" t="s">
        <v>95</v>
      </c>
      <c r="F20" s="38">
        <v>219</v>
      </c>
      <c r="G20" s="38"/>
    </row>
    <row r="21" spans="1:8" ht="16.5" customHeight="1">
      <c r="A21" s="9" t="s">
        <v>13</v>
      </c>
      <c r="B21" s="9" t="s">
        <v>37</v>
      </c>
      <c r="C21" s="9" t="s">
        <v>35</v>
      </c>
      <c r="D21" s="9" t="s">
        <v>70</v>
      </c>
      <c r="E21" s="9" t="s">
        <v>75</v>
      </c>
      <c r="F21" s="38" t="s">
        <v>39</v>
      </c>
      <c r="G21" s="38" t="s">
        <v>91</v>
      </c>
    </row>
    <row r="22" spans="1:8" customFormat="1" ht="25.5" customHeight="1">
      <c r="A22" s="37" t="s">
        <v>36</v>
      </c>
      <c r="B22" s="14">
        <v>3000</v>
      </c>
      <c r="C22" s="14">
        <f>+B22</f>
        <v>3000</v>
      </c>
      <c r="D22" s="49">
        <v>650</v>
      </c>
      <c r="E22" s="26">
        <f>B22*D22</f>
        <v>1950000</v>
      </c>
      <c r="F22" s="38">
        <f>C22*D22</f>
        <v>1950000</v>
      </c>
      <c r="G22" s="47">
        <f>+F20*B22</f>
        <v>657000</v>
      </c>
      <c r="H22" s="42"/>
    </row>
    <row r="23" spans="1:8" customFormat="1" ht="16.5" customHeight="1">
      <c r="A23" s="38" t="s">
        <v>46</v>
      </c>
      <c r="B23" s="16"/>
      <c r="C23" s="16">
        <v>0</v>
      </c>
      <c r="D23" s="45">
        <v>0</v>
      </c>
      <c r="E23" s="16">
        <v>0</v>
      </c>
      <c r="F23" s="38">
        <v>0</v>
      </c>
      <c r="G23" s="38">
        <v>0</v>
      </c>
      <c r="H23" s="42"/>
    </row>
    <row r="24" spans="1:8" customFormat="1" ht="29.25" customHeight="1">
      <c r="A24" s="37" t="s">
        <v>3</v>
      </c>
      <c r="B24" s="16">
        <v>0</v>
      </c>
      <c r="C24" s="44">
        <v>0</v>
      </c>
      <c r="D24" s="46">
        <v>0</v>
      </c>
      <c r="E24" s="26">
        <f>B24*D24</f>
        <v>0</v>
      </c>
      <c r="F24" s="38">
        <f t="shared" ref="F24:G28" si="0">C24*D24</f>
        <v>0</v>
      </c>
      <c r="G24" s="38">
        <f t="shared" si="0"/>
        <v>0</v>
      </c>
      <c r="H24" s="42"/>
    </row>
    <row r="25" spans="1:8" customFormat="1" ht="15.75" customHeight="1">
      <c r="A25" s="38" t="s">
        <v>73</v>
      </c>
      <c r="B25" s="44">
        <v>1500</v>
      </c>
      <c r="C25" s="44">
        <f>+B25</f>
        <v>1500</v>
      </c>
      <c r="D25" s="46">
        <v>1200</v>
      </c>
      <c r="E25" s="26">
        <f>B25*D25</f>
        <v>1800000</v>
      </c>
      <c r="F25" s="38">
        <f t="shared" si="0"/>
        <v>1800000</v>
      </c>
      <c r="G25" s="38">
        <f>D25*C25</f>
        <v>1800000</v>
      </c>
      <c r="H25" s="42"/>
    </row>
    <row r="26" spans="1:8" customFormat="1" ht="15.75" customHeight="1">
      <c r="A26" s="37" t="s">
        <v>77</v>
      </c>
      <c r="B26" s="44">
        <v>0</v>
      </c>
      <c r="C26" s="44">
        <v>0</v>
      </c>
      <c r="D26" s="46">
        <v>0</v>
      </c>
      <c r="E26" s="26">
        <f>B26*D26</f>
        <v>0</v>
      </c>
      <c r="F26" s="38">
        <f t="shared" si="0"/>
        <v>0</v>
      </c>
      <c r="G26" s="38">
        <f>D26*C26</f>
        <v>0</v>
      </c>
      <c r="H26" s="42"/>
    </row>
    <row r="27" spans="1:8" customFormat="1" ht="15.75" customHeight="1">
      <c r="A27" s="37" t="s">
        <v>78</v>
      </c>
      <c r="B27" s="44">
        <v>0</v>
      </c>
      <c r="C27" s="44">
        <v>0</v>
      </c>
      <c r="D27" s="46">
        <v>0</v>
      </c>
      <c r="E27" s="26">
        <f>B27*D27</f>
        <v>0</v>
      </c>
      <c r="F27" s="38">
        <f t="shared" si="0"/>
        <v>0</v>
      </c>
      <c r="G27" s="38">
        <f>D27*C27</f>
        <v>0</v>
      </c>
      <c r="H27" s="42"/>
    </row>
    <row r="28" spans="1:8" customFormat="1" ht="14.25" customHeight="1">
      <c r="A28" s="47" t="s">
        <v>94</v>
      </c>
      <c r="B28" s="15">
        <v>0</v>
      </c>
      <c r="C28" s="15">
        <v>0</v>
      </c>
      <c r="D28" s="46">
        <v>0</v>
      </c>
      <c r="E28" s="26">
        <f>B28*D28</f>
        <v>0</v>
      </c>
      <c r="F28" s="38">
        <f t="shared" si="0"/>
        <v>0</v>
      </c>
      <c r="G28" s="38">
        <f t="shared" si="0"/>
        <v>0</v>
      </c>
      <c r="H28" s="42"/>
    </row>
    <row r="29" spans="1:8" customFormat="1" ht="19.5" customHeight="1">
      <c r="A29" s="119" t="s">
        <v>38</v>
      </c>
      <c r="B29" s="120"/>
      <c r="C29" s="120"/>
      <c r="D29" s="121"/>
      <c r="E29" s="26">
        <f>SUM(E22:E28)</f>
        <v>3750000</v>
      </c>
      <c r="F29" s="38">
        <f>SUM(F22:F28)</f>
        <v>3750000</v>
      </c>
      <c r="G29" s="38">
        <f>SUM(G22:H28)</f>
        <v>2457000</v>
      </c>
      <c r="H29" s="42"/>
    </row>
    <row r="30" spans="1:8" customFormat="1" ht="19.5" customHeight="1">
      <c r="A30" s="117" t="s">
        <v>99</v>
      </c>
      <c r="B30" s="117"/>
      <c r="C30" s="117"/>
      <c r="D30" s="53">
        <f>+F29*0.8</f>
        <v>3000000</v>
      </c>
      <c r="E30" s="26"/>
      <c r="F30" s="38"/>
      <c r="G30" s="38"/>
      <c r="H30" s="42"/>
    </row>
    <row r="31" spans="1:8" customFormat="1" ht="16.5" customHeight="1">
      <c r="A31" s="118" t="s">
        <v>51</v>
      </c>
      <c r="B31" s="118"/>
      <c r="C31" s="118"/>
      <c r="D31" s="118"/>
      <c r="E31" s="118"/>
      <c r="F31" s="118"/>
      <c r="G31" s="118"/>
      <c r="H31" s="42"/>
    </row>
    <row r="32" spans="1:8" customFormat="1" ht="16.5" customHeight="1">
      <c r="A32" s="39" t="s">
        <v>59</v>
      </c>
      <c r="B32" s="15" t="s">
        <v>53</v>
      </c>
      <c r="C32" s="15" t="s">
        <v>54</v>
      </c>
      <c r="D32" s="15" t="s">
        <v>52</v>
      </c>
      <c r="E32" s="109" t="s">
        <v>55</v>
      </c>
      <c r="F32" s="109"/>
      <c r="G32" s="109"/>
      <c r="H32" s="42"/>
    </row>
    <row r="33" spans="1:11" customFormat="1" ht="16.5" customHeight="1">
      <c r="A33" s="37" t="s">
        <v>56</v>
      </c>
      <c r="B33" s="45" t="s">
        <v>108</v>
      </c>
      <c r="C33" s="45" t="s">
        <v>108</v>
      </c>
      <c r="D33" s="45" t="s">
        <v>107</v>
      </c>
      <c r="E33" s="106" t="s">
        <v>107</v>
      </c>
      <c r="F33" s="107"/>
      <c r="G33" s="108"/>
      <c r="H33" s="42"/>
    </row>
    <row r="34" spans="1:11" customFormat="1" ht="15.75" customHeight="1">
      <c r="A34" s="28" t="s">
        <v>57</v>
      </c>
      <c r="B34" s="45" t="s">
        <v>108</v>
      </c>
      <c r="C34" s="45" t="s">
        <v>108</v>
      </c>
      <c r="D34" s="45" t="s">
        <v>107</v>
      </c>
      <c r="E34" s="106" t="s">
        <v>107</v>
      </c>
      <c r="F34" s="107"/>
      <c r="G34" s="108"/>
      <c r="H34" s="42"/>
    </row>
    <row r="35" spans="1:11" customFormat="1" ht="15.75" customHeight="1">
      <c r="A35" s="39" t="s">
        <v>58</v>
      </c>
      <c r="B35" s="110"/>
      <c r="C35" s="111"/>
      <c r="D35" s="111"/>
      <c r="E35" s="111"/>
      <c r="F35" s="111"/>
      <c r="G35" s="112"/>
      <c r="H35" s="42"/>
    </row>
    <row r="36" spans="1:11" customFormat="1" ht="31.5" customHeight="1">
      <c r="A36" s="50" t="s">
        <v>56</v>
      </c>
      <c r="B36" s="45" t="s">
        <v>115</v>
      </c>
      <c r="C36" s="45" t="s">
        <v>116</v>
      </c>
      <c r="D36" s="45" t="s">
        <v>114</v>
      </c>
      <c r="E36" s="106" t="s">
        <v>113</v>
      </c>
      <c r="F36" s="107"/>
      <c r="G36" s="108"/>
      <c r="H36" s="42"/>
    </row>
    <row r="37" spans="1:11" customFormat="1" ht="33" customHeight="1">
      <c r="A37" s="51" t="s">
        <v>57</v>
      </c>
      <c r="B37" s="45" t="s">
        <v>115</v>
      </c>
      <c r="C37" s="45" t="s">
        <v>116</v>
      </c>
      <c r="D37" s="45" t="s">
        <v>114</v>
      </c>
      <c r="E37" s="106" t="s">
        <v>113</v>
      </c>
      <c r="F37" s="107"/>
      <c r="G37" s="108"/>
      <c r="H37" s="42"/>
    </row>
    <row r="38" spans="1:11" customFormat="1" ht="17.25" customHeight="1">
      <c r="A38" s="75" t="s">
        <v>60</v>
      </c>
      <c r="B38" s="75"/>
      <c r="C38" s="75"/>
      <c r="D38" s="75"/>
      <c r="E38" s="75"/>
      <c r="F38" s="75"/>
      <c r="G38" s="75"/>
      <c r="H38" s="42"/>
    </row>
    <row r="39" spans="1:11" customFormat="1" ht="49.5" customHeight="1">
      <c r="A39" s="13" t="s">
        <v>14</v>
      </c>
      <c r="B39" s="22" t="s">
        <v>74</v>
      </c>
      <c r="C39" s="22" t="s">
        <v>67</v>
      </c>
      <c r="D39" s="113" t="s">
        <v>68</v>
      </c>
      <c r="E39" s="114"/>
      <c r="F39" s="113" t="s">
        <v>69</v>
      </c>
      <c r="G39" s="114"/>
      <c r="H39" s="42"/>
      <c r="K39">
        <f>50*30</f>
        <v>1500</v>
      </c>
    </row>
    <row r="40" spans="1:11" ht="17.25" customHeight="1">
      <c r="A40" s="38" t="str">
        <f>+A24</f>
        <v>Basement Floor</v>
      </c>
      <c r="B40" s="15">
        <v>0</v>
      </c>
      <c r="C40" s="15">
        <v>0</v>
      </c>
      <c r="D40" s="60">
        <f>C40-B40</f>
        <v>0</v>
      </c>
      <c r="E40" s="61"/>
      <c r="F40" s="104" t="e">
        <f t="shared" ref="F40:F44" si="1">D40/C40</f>
        <v>#DIV/0!</v>
      </c>
      <c r="G40" s="105"/>
    </row>
    <row r="41" spans="1:11" customFormat="1" ht="18" customHeight="1">
      <c r="A41" s="38" t="str">
        <f>+A25</f>
        <v xml:space="preserve">Ground Floor </v>
      </c>
      <c r="B41" s="15">
        <v>1500</v>
      </c>
      <c r="C41" s="15">
        <v>1200</v>
      </c>
      <c r="D41" s="60">
        <f>+B41</f>
        <v>1500</v>
      </c>
      <c r="E41" s="61"/>
      <c r="F41" s="104">
        <v>0.15</v>
      </c>
      <c r="G41" s="105"/>
      <c r="H41" s="42"/>
    </row>
    <row r="42" spans="1:11" customFormat="1" ht="17.25" customHeight="1">
      <c r="A42" s="37" t="str">
        <f>+A26</f>
        <v>First Floor</v>
      </c>
      <c r="B42" s="15">
        <v>0</v>
      </c>
      <c r="C42" s="15">
        <v>0</v>
      </c>
      <c r="D42" s="60">
        <v>0</v>
      </c>
      <c r="E42" s="61"/>
      <c r="F42" s="104" t="e">
        <f t="shared" si="1"/>
        <v>#DIV/0!</v>
      </c>
      <c r="G42" s="105"/>
      <c r="H42" s="42"/>
    </row>
    <row r="43" spans="1:11" customFormat="1" ht="18" customHeight="1">
      <c r="A43" s="37" t="str">
        <f>+A27</f>
        <v xml:space="preserve">Second Floor </v>
      </c>
      <c r="B43" s="15">
        <v>0</v>
      </c>
      <c r="C43" s="15">
        <v>0</v>
      </c>
      <c r="D43" s="60">
        <v>0</v>
      </c>
      <c r="E43" s="61"/>
      <c r="F43" s="104" t="e">
        <f t="shared" si="1"/>
        <v>#DIV/0!</v>
      </c>
      <c r="G43" s="105"/>
      <c r="H43" s="42"/>
    </row>
    <row r="44" spans="1:11" customFormat="1" ht="18.75" customHeight="1">
      <c r="A44" s="48" t="str">
        <f>+A28</f>
        <v xml:space="preserve">Mazanine Floor </v>
      </c>
      <c r="B44" s="15">
        <f>B28</f>
        <v>0</v>
      </c>
      <c r="C44" s="15">
        <f>C28</f>
        <v>0</v>
      </c>
      <c r="D44" s="60">
        <v>0</v>
      </c>
      <c r="E44" s="61"/>
      <c r="F44" s="104" t="e">
        <f t="shared" si="1"/>
        <v>#DIV/0!</v>
      </c>
      <c r="G44" s="105"/>
      <c r="H44" s="42"/>
    </row>
    <row r="45" spans="1:11" customFormat="1" ht="15">
      <c r="A45" s="38" t="s">
        <v>15</v>
      </c>
      <c r="B45" s="16">
        <v>0</v>
      </c>
      <c r="C45" s="17">
        <v>1</v>
      </c>
      <c r="D45" s="74"/>
      <c r="E45" s="74"/>
      <c r="F45" s="74"/>
      <c r="G45" s="74"/>
      <c r="H45" s="42"/>
    </row>
    <row r="46" spans="1:11" customFormat="1">
      <c r="A46" s="75" t="s">
        <v>61</v>
      </c>
      <c r="B46" s="75"/>
      <c r="C46" s="75"/>
      <c r="D46" s="75"/>
      <c r="E46" s="75"/>
      <c r="F46" s="75"/>
      <c r="G46" s="75"/>
      <c r="H46" s="42"/>
    </row>
    <row r="47" spans="1:11" customFormat="1" ht="19.5" customHeight="1">
      <c r="A47" s="28" t="s">
        <v>16</v>
      </c>
      <c r="B47" s="56" t="s">
        <v>0</v>
      </c>
      <c r="C47" s="58"/>
      <c r="D47" s="73" t="s">
        <v>17</v>
      </c>
      <c r="E47" s="73"/>
      <c r="F47" s="73"/>
      <c r="G47" s="73"/>
      <c r="H47" s="42"/>
    </row>
    <row r="48" spans="1:11" customFormat="1" ht="16.5" customHeight="1">
      <c r="A48" s="28">
        <v>1</v>
      </c>
      <c r="B48" s="79" t="s">
        <v>84</v>
      </c>
      <c r="C48" s="79"/>
      <c r="D48" s="56" t="s">
        <v>92</v>
      </c>
      <c r="E48" s="57"/>
      <c r="F48" s="57"/>
      <c r="G48" s="58"/>
      <c r="H48" s="42"/>
    </row>
    <row r="49" spans="1:8" customFormat="1" ht="17.25" customHeight="1">
      <c r="A49" s="73" t="s">
        <v>71</v>
      </c>
      <c r="B49" s="73"/>
      <c r="C49" s="73"/>
      <c r="D49" s="73"/>
      <c r="E49" s="73"/>
      <c r="F49" s="73"/>
      <c r="G49" s="73"/>
      <c r="H49" s="42"/>
    </row>
    <row r="50" spans="1:8" customFormat="1" ht="17.25" customHeight="1">
      <c r="A50" s="56" t="s">
        <v>98</v>
      </c>
      <c r="B50" s="57"/>
      <c r="C50" s="58"/>
      <c r="D50" s="73" t="s">
        <v>80</v>
      </c>
      <c r="E50" s="73"/>
      <c r="F50" s="73"/>
      <c r="G50" s="116"/>
      <c r="H50" s="42"/>
    </row>
    <row r="51" spans="1:8" customFormat="1" ht="18" customHeight="1">
      <c r="A51" s="66" t="s">
        <v>1</v>
      </c>
      <c r="B51" s="115"/>
      <c r="C51" s="67"/>
      <c r="D51" s="73" t="s">
        <v>1</v>
      </c>
      <c r="E51" s="73"/>
      <c r="F51" s="73"/>
      <c r="G51" s="116"/>
      <c r="H51" s="42"/>
    </row>
    <row r="52" spans="1:8" customFormat="1" ht="16.5" customHeight="1">
      <c r="A52" s="66" t="s">
        <v>1</v>
      </c>
      <c r="B52" s="115"/>
      <c r="C52" s="67"/>
      <c r="D52" s="73" t="s">
        <v>1</v>
      </c>
      <c r="E52" s="73"/>
      <c r="F52" s="73"/>
      <c r="G52" s="116"/>
      <c r="H52" s="42"/>
    </row>
    <row r="53" spans="1:8" customFormat="1">
      <c r="A53" s="78" t="s">
        <v>22</v>
      </c>
      <c r="B53" s="78"/>
      <c r="C53" s="78"/>
      <c r="D53" s="78"/>
      <c r="E53" s="78"/>
      <c r="F53" s="78"/>
      <c r="G53" s="78"/>
      <c r="H53" s="42"/>
    </row>
    <row r="54" spans="1:8" customFormat="1" ht="15">
      <c r="A54" s="56" t="s">
        <v>111</v>
      </c>
      <c r="B54" s="57"/>
      <c r="C54" s="58"/>
      <c r="D54" s="56" t="s">
        <v>110</v>
      </c>
      <c r="E54" s="58"/>
      <c r="F54" s="56" t="s">
        <v>112</v>
      </c>
      <c r="G54" s="58"/>
      <c r="H54" s="42"/>
    </row>
    <row r="55" spans="1:8" ht="20.100000000000001" hidden="1" customHeight="1">
      <c r="A55" s="56"/>
      <c r="B55" s="57"/>
      <c r="C55" s="58"/>
      <c r="D55" s="56"/>
      <c r="E55" s="58"/>
      <c r="F55" s="66"/>
      <c r="G55" s="67"/>
    </row>
    <row r="56" spans="1:8" ht="20.100000000000001" customHeight="1">
      <c r="A56" s="73" t="s">
        <v>23</v>
      </c>
      <c r="B56" s="73"/>
      <c r="C56" s="73"/>
      <c r="D56" s="56" t="s">
        <v>1</v>
      </c>
      <c r="E56" s="57"/>
      <c r="F56" s="57"/>
      <c r="G56" s="58"/>
    </row>
    <row r="57" spans="1:8" ht="20.100000000000001" customHeight="1">
      <c r="A57" s="59" t="s">
        <v>18</v>
      </c>
      <c r="B57" s="59"/>
      <c r="C57" s="59"/>
      <c r="D57" s="59"/>
      <c r="E57" s="59"/>
      <c r="F57" s="59"/>
      <c r="G57" s="59"/>
    </row>
    <row r="58" spans="1:8" ht="20.100000000000001" customHeight="1">
      <c r="A58" s="56" t="s">
        <v>19</v>
      </c>
      <c r="B58" s="57"/>
      <c r="C58" s="58"/>
      <c r="D58" s="60" t="s">
        <v>20</v>
      </c>
      <c r="E58" s="61"/>
      <c r="F58" s="56" t="s">
        <v>72</v>
      </c>
      <c r="G58" s="58"/>
    </row>
    <row r="59" spans="1:8" customFormat="1" ht="18" customHeight="1">
      <c r="A59" s="56" t="s">
        <v>1</v>
      </c>
      <c r="B59" s="57"/>
      <c r="C59" s="58"/>
      <c r="D59" s="60" t="s">
        <v>1</v>
      </c>
      <c r="E59" s="61"/>
      <c r="F59" s="60" t="s">
        <v>1</v>
      </c>
      <c r="G59" s="61"/>
      <c r="H59" s="42"/>
    </row>
    <row r="60" spans="1:8" customFormat="1" ht="15">
      <c r="A60" s="76" t="s">
        <v>21</v>
      </c>
      <c r="B60" s="77"/>
      <c r="C60" s="5" t="s">
        <v>42</v>
      </c>
      <c r="D60" s="5" t="s">
        <v>40</v>
      </c>
      <c r="E60" s="5" t="s">
        <v>41</v>
      </c>
      <c r="F60" s="62" t="s">
        <v>43</v>
      </c>
      <c r="G60" s="63"/>
      <c r="H60" s="42"/>
    </row>
    <row r="61" spans="1:8" customFormat="1" ht="15">
      <c r="A61" s="40" t="s">
        <v>2</v>
      </c>
      <c r="B61" s="70" t="s">
        <v>1</v>
      </c>
      <c r="C61" s="70"/>
      <c r="D61" s="6" t="s">
        <v>1</v>
      </c>
      <c r="E61" s="6" t="s">
        <v>1</v>
      </c>
      <c r="F61" s="71" t="s">
        <v>1</v>
      </c>
      <c r="G61" s="72"/>
      <c r="H61" s="42"/>
    </row>
    <row r="62" spans="1:8" customFormat="1" ht="15">
      <c r="A62" s="7" t="s">
        <v>24</v>
      </c>
      <c r="B62" s="7"/>
      <c r="C62" s="18"/>
      <c r="D62" s="18"/>
      <c r="E62" s="18"/>
      <c r="F62" s="18"/>
      <c r="G62" s="18"/>
      <c r="H62" s="42"/>
    </row>
    <row r="63" spans="1:8" customFormat="1" ht="15">
      <c r="A63" s="7" t="s">
        <v>25</v>
      </c>
      <c r="B63" s="7"/>
      <c r="C63" s="18"/>
      <c r="D63" s="18"/>
      <c r="E63" s="18"/>
      <c r="F63" s="18" t="s">
        <v>85</v>
      </c>
      <c r="G63" s="18"/>
      <c r="H63" s="42"/>
    </row>
    <row r="64" spans="1:8" customFormat="1" ht="15">
      <c r="A64" s="7" t="s">
        <v>26</v>
      </c>
      <c r="B64" s="7"/>
      <c r="C64" s="18"/>
      <c r="D64" s="18"/>
      <c r="E64" s="18"/>
      <c r="F64" s="18" t="s">
        <v>85</v>
      </c>
      <c r="G64" s="18"/>
      <c r="H64" s="42"/>
    </row>
    <row r="65" spans="1:8" customFormat="1" ht="15">
      <c r="A65" s="7" t="s">
        <v>31</v>
      </c>
      <c r="B65" s="7"/>
      <c r="C65" s="18"/>
      <c r="D65" s="18"/>
      <c r="E65" s="18"/>
      <c r="F65" s="19" t="s">
        <v>86</v>
      </c>
      <c r="G65" s="18"/>
      <c r="H65" s="42"/>
    </row>
    <row r="66" spans="1:8" customFormat="1" ht="17.25" customHeight="1">
      <c r="A66" s="7" t="s">
        <v>27</v>
      </c>
      <c r="B66" s="7"/>
      <c r="C66" s="18"/>
      <c r="D66" s="18"/>
      <c r="E66" s="18"/>
      <c r="F66" s="19" t="s">
        <v>93</v>
      </c>
      <c r="G66" s="18"/>
      <c r="H66" s="42"/>
    </row>
    <row r="67" spans="1:8" customFormat="1" ht="16.5" customHeight="1">
      <c r="A67" s="7" t="s">
        <v>28</v>
      </c>
      <c r="B67" s="7"/>
      <c r="C67" s="18"/>
      <c r="D67" s="18"/>
      <c r="E67" s="18"/>
      <c r="F67" s="18" t="s">
        <v>85</v>
      </c>
      <c r="G67" s="18"/>
      <c r="H67" s="42"/>
    </row>
    <row r="68" spans="1:8" s="4" customFormat="1" ht="18.75" customHeight="1">
      <c r="A68" s="30" t="s">
        <v>29</v>
      </c>
      <c r="B68" s="29"/>
      <c r="C68" s="30"/>
      <c r="D68" s="30"/>
      <c r="E68" s="31"/>
      <c r="F68" s="18" t="s">
        <v>87</v>
      </c>
      <c r="G68" s="30"/>
      <c r="H68" s="43"/>
    </row>
    <row r="69" spans="1:8" customFormat="1" ht="17.25" customHeight="1">
      <c r="A69" s="30" t="s">
        <v>30</v>
      </c>
      <c r="B69" s="29"/>
      <c r="C69" s="30"/>
      <c r="D69" s="30"/>
      <c r="E69" s="31"/>
      <c r="F69" s="18" t="s">
        <v>85</v>
      </c>
      <c r="G69" s="30"/>
      <c r="H69" s="42"/>
    </row>
    <row r="70" spans="1:8" ht="21.75" customHeight="1">
      <c r="A70" s="64" t="s">
        <v>32</v>
      </c>
      <c r="B70" s="64"/>
      <c r="C70" s="64"/>
      <c r="D70" s="64"/>
      <c r="E70" s="64"/>
      <c r="F70" s="64"/>
      <c r="G70" s="64"/>
    </row>
    <row r="71" spans="1:8" ht="19.5" customHeight="1">
      <c r="A71" s="68" t="s">
        <v>88</v>
      </c>
      <c r="B71" s="69"/>
      <c r="C71" s="69"/>
      <c r="D71" s="69"/>
      <c r="E71" s="69"/>
      <c r="F71" s="69"/>
      <c r="G71" s="69"/>
    </row>
    <row r="72" spans="1:8" ht="16.5" customHeight="1">
      <c r="A72" s="20" t="s">
        <v>44</v>
      </c>
      <c r="B72" s="21"/>
      <c r="C72" s="21"/>
      <c r="D72" s="21"/>
      <c r="E72" s="21"/>
      <c r="F72" s="21"/>
      <c r="G72" s="12"/>
    </row>
    <row r="73" spans="1:8" ht="38.25" customHeight="1">
      <c r="A73" s="23"/>
      <c r="B73" s="21"/>
      <c r="C73" s="21"/>
      <c r="D73" s="21"/>
      <c r="E73" s="21"/>
      <c r="F73" s="21"/>
      <c r="G73" s="12"/>
    </row>
    <row r="74" spans="1:8" ht="18.75" hidden="1" customHeight="1">
      <c r="A74" s="21"/>
      <c r="B74" s="21"/>
      <c r="C74" s="21"/>
      <c r="D74" s="21"/>
      <c r="E74" s="21"/>
      <c r="F74" s="21"/>
      <c r="G74" s="12"/>
    </row>
    <row r="75" spans="1:8" ht="18.75" hidden="1" customHeight="1">
      <c r="A75" s="21"/>
      <c r="B75" s="21"/>
      <c r="C75" s="21"/>
      <c r="D75" s="21"/>
      <c r="E75" s="21"/>
      <c r="F75" s="21"/>
      <c r="G75" s="12"/>
    </row>
    <row r="76" spans="1:8" ht="21" hidden="1" customHeight="1">
      <c r="A76" s="21" t="s">
        <v>45</v>
      </c>
      <c r="B76" s="21"/>
      <c r="C76" s="21"/>
      <c r="D76" s="21"/>
      <c r="E76" s="21"/>
      <c r="F76" s="21"/>
      <c r="G76" s="12"/>
    </row>
    <row r="77" spans="1:8" ht="14.25" customHeight="1">
      <c r="A77" s="20" t="s">
        <v>45</v>
      </c>
      <c r="B77" s="21"/>
      <c r="C77" s="21"/>
      <c r="D77" s="21"/>
      <c r="E77" s="21"/>
      <c r="F77" s="21"/>
      <c r="G77" s="12"/>
    </row>
    <row r="78" spans="1:8" ht="20.25" customHeight="1">
      <c r="A78" s="8" t="s">
        <v>89</v>
      </c>
      <c r="B78" s="52" t="s">
        <v>90</v>
      </c>
      <c r="C78" s="8"/>
      <c r="D78" s="8"/>
      <c r="E78" s="8"/>
      <c r="F78" s="54" t="s">
        <v>117</v>
      </c>
      <c r="G78" s="54"/>
    </row>
    <row r="79" spans="1:8" ht="15">
      <c r="A79" s="8"/>
      <c r="B79" s="8"/>
      <c r="C79" s="8"/>
      <c r="D79" s="8"/>
      <c r="E79" s="8"/>
      <c r="F79" s="8"/>
      <c r="G79" s="8"/>
    </row>
    <row r="81" spans="1:7" ht="14.25" customHeight="1">
      <c r="A81" s="65"/>
      <c r="B81" s="65"/>
      <c r="C81" s="55"/>
      <c r="D81" s="55"/>
      <c r="E81" s="55"/>
      <c r="F81" s="55"/>
      <c r="G81" s="55"/>
    </row>
    <row r="82" spans="1:7">
      <c r="A82" s="55"/>
      <c r="B82" s="55"/>
      <c r="C82" s="55"/>
      <c r="D82" s="55"/>
      <c r="E82" s="55"/>
      <c r="F82" s="55"/>
      <c r="G82" s="55"/>
    </row>
  </sheetData>
  <mergeCells count="91">
    <mergeCell ref="A30:C30"/>
    <mergeCell ref="A31:G31"/>
    <mergeCell ref="B12:G12"/>
    <mergeCell ref="B7:G7"/>
    <mergeCell ref="B8:G8"/>
    <mergeCell ref="B9:G9"/>
    <mergeCell ref="B15:G15"/>
    <mergeCell ref="B13:G13"/>
    <mergeCell ref="A29:D29"/>
    <mergeCell ref="B19:C19"/>
    <mergeCell ref="D19:E19"/>
    <mergeCell ref="F19:G19"/>
    <mergeCell ref="B20:D20"/>
    <mergeCell ref="B18:C18"/>
    <mergeCell ref="E18:G18"/>
    <mergeCell ref="D17:E17"/>
    <mergeCell ref="F17:G17"/>
    <mergeCell ref="F41:G41"/>
    <mergeCell ref="A52:C52"/>
    <mergeCell ref="A50:C50"/>
    <mergeCell ref="A49:G49"/>
    <mergeCell ref="A51:C51"/>
    <mergeCell ref="D51:G51"/>
    <mergeCell ref="D52:G52"/>
    <mergeCell ref="D50:G50"/>
    <mergeCell ref="D41:E41"/>
    <mergeCell ref="D42:E42"/>
    <mergeCell ref="F42:G42"/>
    <mergeCell ref="D43:E43"/>
    <mergeCell ref="F43:G43"/>
    <mergeCell ref="D45:E45"/>
    <mergeCell ref="D44:E44"/>
    <mergeCell ref="F44:G44"/>
    <mergeCell ref="E34:G34"/>
    <mergeCell ref="E32:G32"/>
    <mergeCell ref="E33:G33"/>
    <mergeCell ref="B35:G35"/>
    <mergeCell ref="E37:G37"/>
    <mergeCell ref="A38:G38"/>
    <mergeCell ref="D40:E40"/>
    <mergeCell ref="F40:G40"/>
    <mergeCell ref="E36:G36"/>
    <mergeCell ref="D39:E39"/>
    <mergeCell ref="F39:G39"/>
    <mergeCell ref="A1:G1"/>
    <mergeCell ref="A8:A13"/>
    <mergeCell ref="B16:C16"/>
    <mergeCell ref="D16:E16"/>
    <mergeCell ref="F16:G16"/>
    <mergeCell ref="A4:E4"/>
    <mergeCell ref="B5:E5"/>
    <mergeCell ref="F6:G6"/>
    <mergeCell ref="A2:G2"/>
    <mergeCell ref="B11:G11"/>
    <mergeCell ref="A3:G3"/>
    <mergeCell ref="B10:G10"/>
    <mergeCell ref="B14:G14"/>
    <mergeCell ref="D6:E6"/>
    <mergeCell ref="A6:C6"/>
    <mergeCell ref="B61:C61"/>
    <mergeCell ref="F61:G61"/>
    <mergeCell ref="A56:C56"/>
    <mergeCell ref="D56:G56"/>
    <mergeCell ref="F45:G45"/>
    <mergeCell ref="D54:E54"/>
    <mergeCell ref="A46:G46"/>
    <mergeCell ref="B47:C47"/>
    <mergeCell ref="D47:G47"/>
    <mergeCell ref="F59:G59"/>
    <mergeCell ref="A60:B60"/>
    <mergeCell ref="D48:G48"/>
    <mergeCell ref="A53:G53"/>
    <mergeCell ref="B48:C48"/>
    <mergeCell ref="A59:C59"/>
    <mergeCell ref="D59:E59"/>
    <mergeCell ref="F78:G78"/>
    <mergeCell ref="A82:G82"/>
    <mergeCell ref="A54:C54"/>
    <mergeCell ref="A57:G57"/>
    <mergeCell ref="A58:C58"/>
    <mergeCell ref="D58:E58"/>
    <mergeCell ref="F58:G58"/>
    <mergeCell ref="F60:G60"/>
    <mergeCell ref="A70:G70"/>
    <mergeCell ref="D55:E55"/>
    <mergeCell ref="F54:G54"/>
    <mergeCell ref="A55:C55"/>
    <mergeCell ref="C81:G81"/>
    <mergeCell ref="A81:B81"/>
    <mergeCell ref="F55:G55"/>
    <mergeCell ref="A71:G71"/>
  </mergeCells>
  <phoneticPr fontId="0" type="noConversion"/>
  <printOptions horizontalCentered="1"/>
  <pageMargins left="0" right="0" top="2.29" bottom="0.02" header="0" footer="0"/>
  <pageSetup scale="75" firstPageNumber="0" fitToHeight="0" orientation="portrait" horizontalDpi="300" verticalDpi="300" r:id="rId1"/>
  <headerFooter alignWithMargins="0">
    <oddFooter>&amp;F</oddFooter>
  </headerFooter>
  <rowBreaks count="2" manualBreakCount="2">
    <brk id="30" max="6" man="1"/>
    <brk id="7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Valuation Report=LAP Resale</vt:lpstr>
      <vt:lpstr>'Valuation Report=LAP Resale'!Print_Area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115187</dc:creator>
  <cp:lastModifiedBy>com</cp:lastModifiedBy>
  <cp:revision>1</cp:revision>
  <cp:lastPrinted>2022-01-01T08:07:14Z</cp:lastPrinted>
  <dcterms:created xsi:type="dcterms:W3CDTF">2005-12-28T11:51:09Z</dcterms:created>
  <dcterms:modified xsi:type="dcterms:W3CDTF">2022-03-29T08:27:41Z</dcterms:modified>
</cp:coreProperties>
</file>